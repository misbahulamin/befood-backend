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ny Details - OWN\befoodbd\Befood's Design\"/>
    </mc:Choice>
  </mc:AlternateContent>
  <xr:revisionPtr revIDLastSave="0" documentId="8_{F51C145C-FB76-4D6F-B906-20167427FF33}" xr6:coauthVersionLast="47" xr6:coauthVersionMax="47" xr10:uidLastSave="{00000000-0000-0000-0000-000000000000}"/>
  <bookViews>
    <workbookView xWindow="28680" yWindow="-120" windowWidth="29040" windowHeight="15720" xr2:uid="{B1995CF5-BA9F-4D23-9264-6D31B9EC68C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" i="1" l="1"/>
  <c r="Z20" i="1"/>
  <c r="Z21" i="1"/>
  <c r="Z23" i="1"/>
  <c r="Y19" i="1"/>
  <c r="Y20" i="1"/>
  <c r="Y21" i="1"/>
  <c r="Y23" i="1"/>
  <c r="X19" i="1"/>
  <c r="X20" i="1"/>
  <c r="X21" i="1"/>
  <c r="X23" i="1"/>
  <c r="W19" i="1"/>
  <c r="W20" i="1"/>
  <c r="W21" i="1"/>
  <c r="W23" i="1"/>
  <c r="V19" i="1"/>
  <c r="V20" i="1"/>
  <c r="V21" i="1"/>
  <c r="V23" i="1"/>
  <c r="U19" i="1"/>
  <c r="U20" i="1"/>
  <c r="U21" i="1"/>
  <c r="U23" i="1"/>
  <c r="O25" i="1"/>
  <c r="P25" i="1"/>
  <c r="N25" i="1"/>
  <c r="L25" i="1"/>
  <c r="M25" i="1"/>
  <c r="K25" i="1"/>
  <c r="F22" i="1"/>
  <c r="E22" i="1"/>
  <c r="Y22" i="1" s="1"/>
  <c r="E18" i="1"/>
  <c r="Z18" i="1" s="1"/>
  <c r="F18" i="1"/>
  <c r="F6" i="1"/>
  <c r="F7" i="1"/>
  <c r="F8" i="1"/>
  <c r="F9" i="1"/>
  <c r="F10" i="1"/>
  <c r="F11" i="1"/>
  <c r="F12" i="1"/>
  <c r="F13" i="1"/>
  <c r="F14" i="1"/>
  <c r="F15" i="1"/>
  <c r="F16" i="1"/>
  <c r="F17" i="1"/>
  <c r="F5" i="1"/>
  <c r="E17" i="1"/>
  <c r="Z17" i="1" s="1"/>
  <c r="E16" i="1"/>
  <c r="Z16" i="1" s="1"/>
  <c r="E15" i="1"/>
  <c r="Z15" i="1" s="1"/>
  <c r="E14" i="1"/>
  <c r="X14" i="1" s="1"/>
  <c r="E13" i="1"/>
  <c r="X13" i="1" s="1"/>
  <c r="E12" i="1"/>
  <c r="X12" i="1" s="1"/>
  <c r="E11" i="1"/>
  <c r="X11" i="1" s="1"/>
  <c r="E10" i="1"/>
  <c r="Y10" i="1" s="1"/>
  <c r="E9" i="1"/>
  <c r="Y9" i="1" s="1"/>
  <c r="E8" i="1"/>
  <c r="Y8" i="1" s="1"/>
  <c r="E7" i="1"/>
  <c r="Y7" i="1" s="1"/>
  <c r="E6" i="1"/>
  <c r="Z6" i="1" s="1"/>
  <c r="E5" i="1"/>
  <c r="Z5" i="1" s="1"/>
  <c r="E4" i="1"/>
  <c r="W4" i="1" s="1"/>
  <c r="E3" i="1"/>
  <c r="X3" i="1" s="1"/>
  <c r="U22" i="1" l="1"/>
  <c r="U10" i="1"/>
  <c r="V18" i="1"/>
  <c r="V6" i="1"/>
  <c r="W14" i="1"/>
  <c r="X22" i="1"/>
  <c r="X10" i="1"/>
  <c r="Y18" i="1"/>
  <c r="Y6" i="1"/>
  <c r="Z14" i="1"/>
  <c r="U9" i="1"/>
  <c r="V17" i="1"/>
  <c r="V5" i="1"/>
  <c r="W13" i="1"/>
  <c r="X9" i="1"/>
  <c r="Y17" i="1"/>
  <c r="Y5" i="1"/>
  <c r="Z13" i="1"/>
  <c r="U8" i="1"/>
  <c r="V16" i="1"/>
  <c r="W3" i="1"/>
  <c r="W12" i="1"/>
  <c r="X8" i="1"/>
  <c r="Y16" i="1"/>
  <c r="Z3" i="1"/>
  <c r="Z12" i="1"/>
  <c r="U7" i="1"/>
  <c r="V15" i="1"/>
  <c r="W11" i="1"/>
  <c r="X7" i="1"/>
  <c r="Y15" i="1"/>
  <c r="Z11" i="1"/>
  <c r="U18" i="1"/>
  <c r="U6" i="1"/>
  <c r="V14" i="1"/>
  <c r="W22" i="1"/>
  <c r="W10" i="1"/>
  <c r="X18" i="1"/>
  <c r="X6" i="1"/>
  <c r="Y14" i="1"/>
  <c r="Z22" i="1"/>
  <c r="Z10" i="1"/>
  <c r="U17" i="1"/>
  <c r="U5" i="1"/>
  <c r="V13" i="1"/>
  <c r="W9" i="1"/>
  <c r="X17" i="1"/>
  <c r="X5" i="1"/>
  <c r="Y13" i="1"/>
  <c r="Z9" i="1"/>
  <c r="U16" i="1"/>
  <c r="V3" i="1"/>
  <c r="V12" i="1"/>
  <c r="W8" i="1"/>
  <c r="X16" i="1"/>
  <c r="Y3" i="1"/>
  <c r="Y12" i="1"/>
  <c r="Z8" i="1"/>
  <c r="U15" i="1"/>
  <c r="V11" i="1"/>
  <c r="W7" i="1"/>
  <c r="X15" i="1"/>
  <c r="Y11" i="1"/>
  <c r="Z7" i="1"/>
  <c r="U14" i="1"/>
  <c r="V22" i="1"/>
  <c r="V10" i="1"/>
  <c r="W18" i="1"/>
  <c r="W6" i="1"/>
  <c r="U13" i="1"/>
  <c r="V9" i="1"/>
  <c r="W17" i="1"/>
  <c r="W5" i="1"/>
  <c r="U3" i="1"/>
  <c r="U12" i="1"/>
  <c r="V8" i="1"/>
  <c r="W16" i="1"/>
  <c r="U11" i="1"/>
  <c r="V7" i="1"/>
  <c r="W15" i="1"/>
  <c r="X4" i="1"/>
  <c r="V4" i="1"/>
  <c r="Y4" i="1"/>
  <c r="Y25" i="1" s="1"/>
  <c r="AF7" i="1" s="1"/>
  <c r="AG7" i="1" s="1"/>
  <c r="Z4" i="1"/>
  <c r="Z25" i="1" s="1"/>
  <c r="AF8" i="1" s="1"/>
  <c r="U4" i="1"/>
  <c r="X25" i="1" l="1"/>
  <c r="AF6" i="1" s="1"/>
  <c r="AG6" i="1" s="1"/>
  <c r="W25" i="1"/>
  <c r="AF5" i="1" s="1"/>
  <c r="V25" i="1"/>
  <c r="AF4" i="1" s="1"/>
  <c r="U25" i="1"/>
  <c r="AF3" i="1" s="1"/>
  <c r="AG8" i="1"/>
  <c r="AH8" i="1"/>
  <c r="AH7" i="1"/>
  <c r="AG4" i="1"/>
  <c r="AH4" i="1"/>
  <c r="AI4" i="1"/>
  <c r="AJ4" i="1" s="1"/>
  <c r="AH6" i="1"/>
  <c r="AH3" i="1"/>
  <c r="AG3" i="1"/>
  <c r="AG5" i="1"/>
  <c r="AH5" i="1"/>
  <c r="AI7" i="1" l="1"/>
  <c r="AJ7" i="1" s="1"/>
  <c r="AI5" i="1"/>
  <c r="AJ5" i="1" s="1"/>
  <c r="AI6" i="1"/>
  <c r="AJ6" i="1" s="1"/>
  <c r="AI8" i="1"/>
  <c r="AJ8" i="1" s="1"/>
  <c r="AI3" i="1"/>
  <c r="AJ3" i="1" s="1"/>
</calcChain>
</file>

<file path=xl/sharedStrings.xml><?xml version="1.0" encoding="utf-8"?>
<sst xmlns="http://schemas.openxmlformats.org/spreadsheetml/2006/main" count="78" uniqueCount="65">
  <si>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</si>
  <si>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</si>
  <si>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</si>
  <si>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</si>
  <si>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</si>
  <si>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</si>
  <si>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</si>
  <si>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</si>
  <si>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</si>
  <si>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</si>
  <si>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</si>
  <si>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</si>
  <si>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</si>
  <si>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</si>
  <si>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</si>
  <si>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</si>
  <si>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</si>
  <si>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</si>
  <si>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</si>
  <si>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Product List</t>
  </si>
  <si>
    <t>Product Name</t>
  </si>
  <si>
    <t>Customer of Per KG</t>
  </si>
  <si>
    <t>Per KG price</t>
  </si>
  <si>
    <t>Per customer price cost</t>
  </si>
  <si>
    <t>Beef</t>
  </si>
  <si>
    <t>Castrated Meat</t>
  </si>
  <si>
    <t>Chicken</t>
  </si>
  <si>
    <t>Pakisthani Chiken</t>
  </si>
  <si>
    <t>Prawn</t>
  </si>
  <si>
    <t>Kathal Fish</t>
  </si>
  <si>
    <t>Rui Fish</t>
  </si>
  <si>
    <t>Naikelle Fish</t>
  </si>
  <si>
    <t>Batha Fish</t>
  </si>
  <si>
    <t>Ghoni Fish</t>
  </si>
  <si>
    <t>Maitta Fish</t>
  </si>
  <si>
    <t>Pabda Fish</t>
  </si>
  <si>
    <t>Ilish Fish</t>
  </si>
  <si>
    <t>Telapiya Fish</t>
  </si>
  <si>
    <t>Egg</t>
  </si>
  <si>
    <t>Fufa Fish</t>
  </si>
  <si>
    <t>Meal Type</t>
  </si>
  <si>
    <t>A</t>
  </si>
  <si>
    <t>B</t>
  </si>
  <si>
    <t>C</t>
  </si>
  <si>
    <t>D</t>
  </si>
  <si>
    <t>E</t>
  </si>
  <si>
    <t>F</t>
  </si>
  <si>
    <t>Vegetables</t>
  </si>
  <si>
    <t>Dhal+Cucumber</t>
  </si>
  <si>
    <t>Rice</t>
  </si>
  <si>
    <t>Moshla</t>
  </si>
  <si>
    <t>Total meal</t>
  </si>
  <si>
    <t>Egg With Jhul</t>
  </si>
  <si>
    <t>Meal Price List</t>
  </si>
  <si>
    <t>Total Price</t>
  </si>
  <si>
    <t>Final Meal Price List</t>
  </si>
  <si>
    <t>Product Cost(60% / 50%)</t>
  </si>
  <si>
    <t>Profit(10% / 20%)</t>
  </si>
  <si>
    <t>Other Cost(30%)</t>
  </si>
  <si>
    <t>Total Cost</t>
  </si>
  <si>
    <t>Per Meal Rate</t>
  </si>
  <si>
    <t>20</t>
  </si>
  <si>
    <t>Cooking Cost</t>
  </si>
  <si>
    <t>Kitchen Cost</t>
  </si>
  <si>
    <t>Pieces of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</si>
</sst>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10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/>
    <xf numFmtId="49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FB65-9EF3-4804-B2A2-F6249D14DE0D}">
  <dimension ref="A1:AJ25"/>
  <sheetViews>
    <sheetView tabSelected="1" zoomScale="106" zoomScaleNormal="106" workbookViewId="0">
      <selection activeCell="F3" sqref="F3"/>
    </sheetView>
  </sheetViews>
  <sheetFormatPr defaultColWidth="9.109375" defaultRowHeight="14.4" x14ac:dyDescent="0.3"/>
  <cols>
    <col min="1" max="1" width="5.33203125" style="1" customWidth="1"/>
    <col min="2" max="2" width="16" style="1" customWidth="1"/>
    <col min="3" max="3" width="10.6640625" style="1" customWidth="1"/>
    <col min="4" max="4" width="17.5546875" style="1" customWidth="1"/>
    <col min="5" max="5" width="20.6640625" style="1" customWidth="1"/>
    <col min="6" max="6" width="14.6640625" style="1" customWidth="1"/>
    <col min="7" max="7" width="2.5546875" style="1" customWidth="1"/>
    <col min="8" max="8" width="1.109375" style="1" customWidth="1"/>
    <col min="9" max="9" width="3.5546875" style="1" customWidth="1"/>
    <col min="10" max="10" width="9.109375" style="1" customWidth="1"/>
    <col min="11" max="16" width="9.109375" style="1"/>
    <col min="17" max="17" width="2.88671875" style="1" customWidth="1"/>
    <col min="18" max="18" width="1.109375" style="1" customWidth="1"/>
    <col min="19" max="19" width="2.6640625" style="1" customWidth="1"/>
    <col min="20" max="26" width="9.109375" style="1"/>
    <col min="27" max="27" width="3" style="1" customWidth="1"/>
    <col min="28" max="28" width="1.6640625" style="1" customWidth="1"/>
    <col min="29" max="29" width="2.44140625" style="1" customWidth="1"/>
    <col min="30" max="30" width="9.109375" style="1"/>
    <col min="31" max="31" width="13.6640625" style="1" customWidth="1"/>
    <col min="32" max="32" width="21.6640625" style="1" customWidth="1"/>
    <col min="33" max="33" width="18.33203125" style="1" customWidth="1"/>
    <col min="34" max="34" width="15.6640625" style="1" customWidth="1"/>
    <col min="35" max="35" width="9.109375" style="1"/>
    <col min="36" max="36" width="13" style="1" customWidth="1"/>
    <col min="37" max="16384" width="9.109375" style="1"/>
  </cols>
  <sheetData>
    <row r="1" spans="1:36" ht="18" x14ac:dyDescent="0.35">
      <c r="A1" s="16"/>
      <c r="B1" s="24" t="s">
        <v>19</v>
      </c>
      <c r="C1" s="24"/>
      <c r="D1" s="24"/>
      <c r="E1" s="24"/>
      <c r="F1" s="24"/>
      <c r="H1" s="7"/>
      <c r="K1" s="25" t="s">
        <v>40</v>
      </c>
      <c r="L1" s="26"/>
      <c r="M1" s="26"/>
      <c r="N1" s="26"/>
      <c r="O1" s="26"/>
      <c r="P1" s="26"/>
      <c r="R1" s="7"/>
      <c r="T1" s="15"/>
      <c r="U1" s="23" t="s">
        <v>53</v>
      </c>
      <c r="V1" s="23"/>
      <c r="W1" s="23"/>
      <c r="X1" s="23"/>
      <c r="Y1" s="23"/>
      <c r="Z1" s="23"/>
      <c r="AB1" s="7"/>
      <c r="AE1" s="23" t="s">
        <v>55</v>
      </c>
      <c r="AF1" s="23"/>
      <c r="AG1" s="23"/>
      <c r="AH1" s="23"/>
      <c r="AI1" s="23"/>
      <c r="AJ1" s="23"/>
    </row>
    <row r="2" spans="1:36" ht="16.8" x14ac:dyDescent="0.3">
      <c r="A2" s="17"/>
      <c r="B2" s="18" t="s">
        <v>20</v>
      </c>
      <c r="C2" s="19" t="s">
        <v>22</v>
      </c>
      <c r="D2" s="18" t="s">
        <v>21</v>
      </c>
      <c r="E2" s="19" t="s">
        <v>23</v>
      </c>
      <c r="F2" s="18" t="s">
        <v>64</v>
      </c>
      <c r="H2" s="7"/>
      <c r="K2" s="2" t="s">
        <v>41</v>
      </c>
      <c r="L2" s="3" t="s">
        <v>42</v>
      </c>
      <c r="M2" s="2" t="s">
        <v>43</v>
      </c>
      <c r="N2" s="3" t="s">
        <v>44</v>
      </c>
      <c r="O2" s="2" t="s">
        <v>45</v>
      </c>
      <c r="P2" s="3" t="s">
        <v>46</v>
      </c>
      <c r="R2" s="7"/>
      <c r="U2" s="2" t="s">
        <v>41</v>
      </c>
      <c r="V2" s="3" t="s">
        <v>42</v>
      </c>
      <c r="W2" s="2" t="s">
        <v>43</v>
      </c>
      <c r="X2" s="3" t="s">
        <v>44</v>
      </c>
      <c r="Y2" s="2" t="s">
        <v>45</v>
      </c>
      <c r="Z2" s="3" t="s">
        <v>46</v>
      </c>
      <c r="AB2" s="7"/>
      <c r="AE2" s="5" t="s">
        <v>40</v>
      </c>
      <c r="AF2" s="6" t="s">
        <v>56</v>
      </c>
      <c r="AG2" s="6" t="s">
        <v>58</v>
      </c>
      <c r="AH2" s="6" t="s">
        <v>57</v>
      </c>
      <c r="AI2" s="6" t="s">
        <v>59</v>
      </c>
      <c r="AJ2" s="6" t="s">
        <v>60</v>
      </c>
    </row>
    <row r="3" spans="1:36" ht="18" x14ac:dyDescent="0.35">
      <c r="A3" s="20" t="s">
        <v>0</v>
      </c>
      <c r="B3" s="21" t="s">
        <v>24</v>
      </c>
      <c r="C3" s="21">
        <v>650</v>
      </c>
      <c r="D3" s="21">
        <v>12</v>
      </c>
      <c r="E3" s="21">
        <f t="shared" ref="E3:E18" si="0">C3/D3</f>
        <v>54.166666666666664</v>
      </c>
      <c r="F3" s="21">
        <v>70</v>
      </c>
      <c r="H3" s="7"/>
      <c r="K3" s="14">
        <v>2</v>
      </c>
      <c r="L3" s="14">
        <v>2</v>
      </c>
      <c r="M3" s="14">
        <v>2</v>
      </c>
      <c r="N3" s="14"/>
      <c r="O3" s="14"/>
      <c r="P3" s="14"/>
      <c r="R3" s="7"/>
      <c r="U3" s="13">
        <f>E3*K3</f>
        <v>108.33333333333333</v>
      </c>
      <c r="V3" s="13">
        <f>E3*L3</f>
        <v>108.33333333333333</v>
      </c>
      <c r="W3" s="13">
        <f>E3*M3</f>
        <v>108.33333333333333</v>
      </c>
      <c r="X3" s="13">
        <f>E3*N3</f>
        <v>0</v>
      </c>
      <c r="Y3" s="13">
        <f>E3*O3</f>
        <v>0</v>
      </c>
      <c r="Z3" s="13">
        <f>E3*P3</f>
        <v>0</v>
      </c>
      <c r="AB3" s="7"/>
      <c r="AE3" s="4" t="s">
        <v>41</v>
      </c>
      <c r="AF3" s="6">
        <f>U25</f>
        <v>2954.6190476190477</v>
      </c>
      <c r="AG3" s="6">
        <f t="shared" ref="AG3:AG8" si="1">AF3*(30/100)</f>
        <v>886.38571428571424</v>
      </c>
      <c r="AH3" s="6">
        <f>AF3*(20/100)</f>
        <v>590.92380952380961</v>
      </c>
      <c r="AI3" s="6">
        <f t="shared" ref="AI3:AI8" si="2">SUM(AF3:AH3)</f>
        <v>4431.9285714285716</v>
      </c>
      <c r="AJ3" s="6">
        <f t="shared" ref="AJ3:AJ8" si="3">AI3/60</f>
        <v>73.865476190476187</v>
      </c>
    </row>
    <row r="4" spans="1:36" ht="18" x14ac:dyDescent="0.35">
      <c r="A4" s="20" t="s">
        <v>1</v>
      </c>
      <c r="B4" s="21" t="s">
        <v>25</v>
      </c>
      <c r="C4" s="21">
        <v>750</v>
      </c>
      <c r="D4" s="21">
        <v>12</v>
      </c>
      <c r="E4" s="21">
        <f t="shared" si="0"/>
        <v>62.5</v>
      </c>
      <c r="F4" s="21">
        <v>70</v>
      </c>
      <c r="H4" s="7"/>
      <c r="K4" s="14">
        <v>2</v>
      </c>
      <c r="L4" s="14">
        <v>2</v>
      </c>
      <c r="M4" s="14">
        <v>2</v>
      </c>
      <c r="N4" s="14"/>
      <c r="O4" s="14"/>
      <c r="P4" s="14"/>
      <c r="R4" s="7"/>
      <c r="U4" s="13">
        <f t="shared" ref="U4:U23" si="4">E4*K4</f>
        <v>125</v>
      </c>
      <c r="V4" s="13">
        <f t="shared" ref="V4:V23" si="5">E4*L4</f>
        <v>125</v>
      </c>
      <c r="W4" s="13">
        <f t="shared" ref="W4:W23" si="6">E4*M4</f>
        <v>125</v>
      </c>
      <c r="X4" s="13">
        <f t="shared" ref="X4:X23" si="7">E4*N4</f>
        <v>0</v>
      </c>
      <c r="Y4" s="13">
        <f t="shared" ref="Y4:Y23" si="8">E4*O4</f>
        <v>0</v>
      </c>
      <c r="Z4" s="13">
        <f t="shared" ref="Z4:Z23" si="9">E4*P4</f>
        <v>0</v>
      </c>
      <c r="AB4" s="7"/>
      <c r="AE4" s="4" t="s">
        <v>42</v>
      </c>
      <c r="AF4" s="6">
        <f>V25</f>
        <v>2564.6190476190477</v>
      </c>
      <c r="AG4" s="6">
        <f t="shared" si="1"/>
        <v>769.38571428571424</v>
      </c>
      <c r="AH4" s="6">
        <f>AF4*(20/100)</f>
        <v>512.92380952380961</v>
      </c>
      <c r="AI4" s="6">
        <f t="shared" si="2"/>
        <v>3846.9285714285716</v>
      </c>
      <c r="AJ4" s="6">
        <f t="shared" si="3"/>
        <v>64.115476190476187</v>
      </c>
    </row>
    <row r="5" spans="1:36" ht="18" x14ac:dyDescent="0.35">
      <c r="A5" s="20" t="s">
        <v>2</v>
      </c>
      <c r="B5" s="21" t="s">
        <v>26</v>
      </c>
      <c r="C5" s="21">
        <v>130</v>
      </c>
      <c r="D5" s="21">
        <v>10</v>
      </c>
      <c r="E5" s="21">
        <f t="shared" si="0"/>
        <v>13</v>
      </c>
      <c r="F5" s="21">
        <f>D5</f>
        <v>10</v>
      </c>
      <c r="H5" s="7"/>
      <c r="K5" s="14">
        <v>18</v>
      </c>
      <c r="L5" s="14">
        <v>18</v>
      </c>
      <c r="M5" s="14">
        <v>18</v>
      </c>
      <c r="N5" s="14">
        <v>20</v>
      </c>
      <c r="O5" s="14">
        <v>20</v>
      </c>
      <c r="P5" s="14">
        <v>10</v>
      </c>
      <c r="R5" s="7"/>
      <c r="U5" s="13">
        <f t="shared" si="4"/>
        <v>234</v>
      </c>
      <c r="V5" s="13">
        <f t="shared" si="5"/>
        <v>234</v>
      </c>
      <c r="W5" s="13">
        <f t="shared" si="6"/>
        <v>234</v>
      </c>
      <c r="X5" s="13">
        <f t="shared" si="7"/>
        <v>260</v>
      </c>
      <c r="Y5" s="13">
        <f t="shared" si="8"/>
        <v>260</v>
      </c>
      <c r="Z5" s="13">
        <f t="shared" si="9"/>
        <v>130</v>
      </c>
      <c r="AB5" s="7"/>
      <c r="AE5" s="4" t="s">
        <v>43</v>
      </c>
      <c r="AF5" s="6">
        <f>W25</f>
        <v>2204.6190476190477</v>
      </c>
      <c r="AG5" s="6">
        <f t="shared" si="1"/>
        <v>661.38571428571424</v>
      </c>
      <c r="AH5" s="6">
        <f>AF5*(20/100)</f>
        <v>440.92380952380955</v>
      </c>
      <c r="AI5" s="6">
        <f t="shared" si="2"/>
        <v>3306.9285714285716</v>
      </c>
      <c r="AJ5" s="6">
        <f t="shared" si="3"/>
        <v>55.115476190476194</v>
      </c>
    </row>
    <row r="6" spans="1:36" ht="18" x14ac:dyDescent="0.35">
      <c r="A6" s="20" t="s">
        <v>3</v>
      </c>
      <c r="B6" s="21" t="s">
        <v>27</v>
      </c>
      <c r="C6" s="21">
        <v>220</v>
      </c>
      <c r="D6" s="21">
        <v>10</v>
      </c>
      <c r="E6" s="21">
        <f t="shared" si="0"/>
        <v>22</v>
      </c>
      <c r="F6" s="21">
        <f t="shared" ref="F6:F17" si="10">D6</f>
        <v>10</v>
      </c>
      <c r="H6" s="7"/>
      <c r="K6" s="14">
        <v>4</v>
      </c>
      <c r="L6" s="14">
        <v>4</v>
      </c>
      <c r="M6" s="14">
        <v>4</v>
      </c>
      <c r="N6" s="14">
        <v>2</v>
      </c>
      <c r="O6" s="14">
        <v>2</v>
      </c>
      <c r="P6" s="14"/>
      <c r="R6" s="7"/>
      <c r="U6" s="13">
        <f t="shared" si="4"/>
        <v>88</v>
      </c>
      <c r="V6" s="13">
        <f t="shared" si="5"/>
        <v>88</v>
      </c>
      <c r="W6" s="13">
        <f t="shared" si="6"/>
        <v>88</v>
      </c>
      <c r="X6" s="13">
        <f t="shared" si="7"/>
        <v>44</v>
      </c>
      <c r="Y6" s="13">
        <f t="shared" si="8"/>
        <v>44</v>
      </c>
      <c r="Z6" s="13">
        <f t="shared" si="9"/>
        <v>0</v>
      </c>
      <c r="AB6" s="7"/>
      <c r="AE6" s="4" t="s">
        <v>44</v>
      </c>
      <c r="AF6" s="6">
        <f>X25</f>
        <v>2180.1904761904761</v>
      </c>
      <c r="AG6" s="6">
        <f t="shared" si="1"/>
        <v>654.05714285714282</v>
      </c>
      <c r="AH6" s="6">
        <f>AF6*(10/100)</f>
        <v>218.01904761904763</v>
      </c>
      <c r="AI6" s="6">
        <f t="shared" si="2"/>
        <v>3052.2666666666669</v>
      </c>
      <c r="AJ6" s="6">
        <f t="shared" si="3"/>
        <v>50.871111111111112</v>
      </c>
    </row>
    <row r="7" spans="1:36" ht="18" x14ac:dyDescent="0.35">
      <c r="A7" s="20" t="s">
        <v>4</v>
      </c>
      <c r="B7" s="21" t="s">
        <v>28</v>
      </c>
      <c r="C7" s="21">
        <v>650</v>
      </c>
      <c r="D7" s="21">
        <v>20</v>
      </c>
      <c r="E7" s="21">
        <f t="shared" si="0"/>
        <v>32.5</v>
      </c>
      <c r="F7" s="21">
        <f t="shared" si="10"/>
        <v>20</v>
      </c>
      <c r="H7" s="7"/>
      <c r="K7" s="14">
        <v>2</v>
      </c>
      <c r="L7" s="14">
        <v>2</v>
      </c>
      <c r="M7" s="14">
        <v>2</v>
      </c>
      <c r="N7" s="14"/>
      <c r="O7" s="14"/>
      <c r="P7" s="14"/>
      <c r="R7" s="7"/>
      <c r="U7" s="13">
        <f t="shared" si="4"/>
        <v>65</v>
      </c>
      <c r="V7" s="13">
        <f t="shared" si="5"/>
        <v>65</v>
      </c>
      <c r="W7" s="13">
        <f t="shared" si="6"/>
        <v>65</v>
      </c>
      <c r="X7" s="13">
        <f t="shared" si="7"/>
        <v>0</v>
      </c>
      <c r="Y7" s="13">
        <f t="shared" si="8"/>
        <v>0</v>
      </c>
      <c r="Z7" s="13">
        <f t="shared" si="9"/>
        <v>0</v>
      </c>
      <c r="AB7" s="7"/>
      <c r="AE7" s="4" t="s">
        <v>45</v>
      </c>
      <c r="AF7" s="6">
        <f>Y25</f>
        <v>1790.1904761904761</v>
      </c>
      <c r="AG7" s="6">
        <f t="shared" si="1"/>
        <v>537.05714285714282</v>
      </c>
      <c r="AH7" s="6">
        <f>AF7*(10/100)</f>
        <v>179.01904761904763</v>
      </c>
      <c r="AI7" s="6">
        <f t="shared" si="2"/>
        <v>2506.2666666666669</v>
      </c>
      <c r="AJ7" s="6">
        <f t="shared" si="3"/>
        <v>41.771111111111118</v>
      </c>
    </row>
    <row r="8" spans="1:36" ht="18" x14ac:dyDescent="0.35">
      <c r="A8" s="20" t="s">
        <v>5</v>
      </c>
      <c r="B8" s="21" t="s">
        <v>29</v>
      </c>
      <c r="C8" s="21">
        <v>250</v>
      </c>
      <c r="D8" s="21">
        <v>12</v>
      </c>
      <c r="E8" s="21">
        <f t="shared" si="0"/>
        <v>20.833333333333332</v>
      </c>
      <c r="F8" s="21">
        <f t="shared" si="10"/>
        <v>12</v>
      </c>
      <c r="H8" s="7"/>
      <c r="K8" s="14">
        <v>6</v>
      </c>
      <c r="L8" s="14">
        <v>6</v>
      </c>
      <c r="M8" s="14">
        <v>6</v>
      </c>
      <c r="N8" s="14">
        <v>6</v>
      </c>
      <c r="O8" s="14">
        <v>6</v>
      </c>
      <c r="P8" s="14"/>
      <c r="R8" s="7"/>
      <c r="U8" s="13">
        <f t="shared" si="4"/>
        <v>125</v>
      </c>
      <c r="V8" s="13">
        <f t="shared" si="5"/>
        <v>125</v>
      </c>
      <c r="W8" s="13">
        <f t="shared" si="6"/>
        <v>125</v>
      </c>
      <c r="X8" s="13">
        <f t="shared" si="7"/>
        <v>125</v>
      </c>
      <c r="Y8" s="13">
        <f t="shared" si="8"/>
        <v>125</v>
      </c>
      <c r="Z8" s="13">
        <f t="shared" si="9"/>
        <v>0</v>
      </c>
      <c r="AB8" s="7"/>
      <c r="AE8" s="4" t="s">
        <v>46</v>
      </c>
      <c r="AF8" s="6">
        <f>Z25</f>
        <v>1374.6666666666667</v>
      </c>
      <c r="AG8" s="6">
        <f t="shared" si="1"/>
        <v>412.40000000000003</v>
      </c>
      <c r="AH8" s="6">
        <f>AF8*(10/100)</f>
        <v>137.46666666666667</v>
      </c>
      <c r="AI8" s="6">
        <f t="shared" si="2"/>
        <v>1924.5333333333335</v>
      </c>
      <c r="AJ8" s="6">
        <f t="shared" si="3"/>
        <v>32.07555555555556</v>
      </c>
    </row>
    <row r="9" spans="1:36" ht="16.8" x14ac:dyDescent="0.3">
      <c r="A9" s="20" t="s">
        <v>6</v>
      </c>
      <c r="B9" s="21" t="s">
        <v>30</v>
      </c>
      <c r="C9" s="21">
        <v>250</v>
      </c>
      <c r="D9" s="21">
        <v>12</v>
      </c>
      <c r="E9" s="21">
        <f t="shared" si="0"/>
        <v>20.833333333333332</v>
      </c>
      <c r="F9" s="21">
        <f t="shared" si="10"/>
        <v>12</v>
      </c>
      <c r="H9" s="7"/>
      <c r="K9" s="14">
        <v>6</v>
      </c>
      <c r="L9" s="14">
        <v>6</v>
      </c>
      <c r="M9" s="14">
        <v>6</v>
      </c>
      <c r="N9" s="14">
        <v>4</v>
      </c>
      <c r="O9" s="14">
        <v>4</v>
      </c>
      <c r="P9" s="14"/>
      <c r="R9" s="7"/>
      <c r="U9" s="13">
        <f t="shared" si="4"/>
        <v>125</v>
      </c>
      <c r="V9" s="13">
        <f t="shared" si="5"/>
        <v>125</v>
      </c>
      <c r="W9" s="13">
        <f t="shared" si="6"/>
        <v>125</v>
      </c>
      <c r="X9" s="13">
        <f t="shared" si="7"/>
        <v>83.333333333333329</v>
      </c>
      <c r="Y9" s="13">
        <f t="shared" si="8"/>
        <v>83.333333333333329</v>
      </c>
      <c r="Z9" s="13">
        <f t="shared" si="9"/>
        <v>0</v>
      </c>
      <c r="AB9" s="7"/>
    </row>
    <row r="10" spans="1:36" ht="16.8" x14ac:dyDescent="0.3">
      <c r="A10" s="20" t="s">
        <v>7</v>
      </c>
      <c r="B10" s="21" t="s">
        <v>31</v>
      </c>
      <c r="C10" s="21">
        <v>200</v>
      </c>
      <c r="D10" s="21">
        <v>14</v>
      </c>
      <c r="E10" s="21">
        <f t="shared" si="0"/>
        <v>14.285714285714286</v>
      </c>
      <c r="F10" s="21">
        <f t="shared" si="10"/>
        <v>14</v>
      </c>
      <c r="H10" s="7"/>
      <c r="K10" s="14">
        <v>8</v>
      </c>
      <c r="L10" s="14">
        <v>8</v>
      </c>
      <c r="M10" s="14">
        <v>8</v>
      </c>
      <c r="N10" s="14">
        <v>10</v>
      </c>
      <c r="O10" s="14">
        <v>10</v>
      </c>
      <c r="P10" s="14"/>
      <c r="R10" s="7"/>
      <c r="U10" s="13">
        <f t="shared" si="4"/>
        <v>114.28571428571429</v>
      </c>
      <c r="V10" s="13">
        <f t="shared" si="5"/>
        <v>114.28571428571429</v>
      </c>
      <c r="W10" s="13">
        <f t="shared" si="6"/>
        <v>114.28571428571429</v>
      </c>
      <c r="X10" s="13">
        <f t="shared" si="7"/>
        <v>142.85714285714286</v>
      </c>
      <c r="Y10" s="13">
        <f t="shared" si="8"/>
        <v>142.85714285714286</v>
      </c>
      <c r="Z10" s="13">
        <f t="shared" si="9"/>
        <v>0</v>
      </c>
      <c r="AB10" s="7"/>
    </row>
    <row r="11" spans="1:36" ht="16.8" x14ac:dyDescent="0.3">
      <c r="A11" s="20" t="s">
        <v>8</v>
      </c>
      <c r="B11" s="21" t="s">
        <v>32</v>
      </c>
      <c r="C11" s="21">
        <v>600</v>
      </c>
      <c r="D11" s="21">
        <v>20</v>
      </c>
      <c r="E11" s="21">
        <f t="shared" si="0"/>
        <v>30</v>
      </c>
      <c r="F11" s="21">
        <f t="shared" si="10"/>
        <v>20</v>
      </c>
      <c r="H11" s="7"/>
      <c r="K11" s="14">
        <v>2</v>
      </c>
      <c r="L11" s="14">
        <v>2</v>
      </c>
      <c r="M11" s="14">
        <v>2</v>
      </c>
      <c r="N11" s="14"/>
      <c r="O11" s="14"/>
      <c r="P11" s="14"/>
      <c r="R11" s="7"/>
      <c r="U11" s="13">
        <f t="shared" si="4"/>
        <v>60</v>
      </c>
      <c r="V11" s="13">
        <f t="shared" si="5"/>
        <v>60</v>
      </c>
      <c r="W11" s="13">
        <f t="shared" si="6"/>
        <v>60</v>
      </c>
      <c r="X11" s="13">
        <f t="shared" si="7"/>
        <v>0</v>
      </c>
      <c r="Y11" s="13">
        <f t="shared" si="8"/>
        <v>0</v>
      </c>
      <c r="Z11" s="13">
        <f t="shared" si="9"/>
        <v>0</v>
      </c>
      <c r="AB11" s="7"/>
    </row>
    <row r="12" spans="1:36" ht="16.8" x14ac:dyDescent="0.3">
      <c r="A12" s="20" t="s">
        <v>9</v>
      </c>
      <c r="B12" s="21" t="s">
        <v>33</v>
      </c>
      <c r="C12" s="21">
        <v>250</v>
      </c>
      <c r="D12" s="21">
        <v>12</v>
      </c>
      <c r="E12" s="21">
        <f t="shared" si="0"/>
        <v>20.833333333333332</v>
      </c>
      <c r="F12" s="21">
        <f t="shared" si="10"/>
        <v>12</v>
      </c>
      <c r="H12" s="7"/>
      <c r="K12" s="14">
        <v>6</v>
      </c>
      <c r="L12" s="14">
        <v>6</v>
      </c>
      <c r="M12" s="14">
        <v>6</v>
      </c>
      <c r="N12" s="14"/>
      <c r="O12" s="14"/>
      <c r="P12" s="14"/>
      <c r="R12" s="7"/>
      <c r="U12" s="13">
        <f t="shared" si="4"/>
        <v>125</v>
      </c>
      <c r="V12" s="13">
        <f t="shared" si="5"/>
        <v>125</v>
      </c>
      <c r="W12" s="13">
        <f t="shared" si="6"/>
        <v>125</v>
      </c>
      <c r="X12" s="13">
        <f t="shared" si="7"/>
        <v>0</v>
      </c>
      <c r="Y12" s="13">
        <f t="shared" si="8"/>
        <v>0</v>
      </c>
      <c r="Z12" s="13">
        <f t="shared" si="9"/>
        <v>0</v>
      </c>
      <c r="AB12" s="7"/>
    </row>
    <row r="13" spans="1:36" ht="16.8" x14ac:dyDescent="0.3">
      <c r="A13" s="20" t="s">
        <v>10</v>
      </c>
      <c r="B13" s="21" t="s">
        <v>34</v>
      </c>
      <c r="C13" s="21">
        <v>550</v>
      </c>
      <c r="D13" s="21">
        <v>14</v>
      </c>
      <c r="E13" s="21">
        <f t="shared" si="0"/>
        <v>39.285714285714285</v>
      </c>
      <c r="F13" s="21">
        <f t="shared" si="10"/>
        <v>14</v>
      </c>
      <c r="H13" s="7"/>
      <c r="K13" s="14"/>
      <c r="L13" s="14"/>
      <c r="M13" s="14"/>
      <c r="N13" s="14"/>
      <c r="O13" s="14"/>
      <c r="P13" s="14"/>
      <c r="R13" s="7"/>
      <c r="U13" s="13">
        <f t="shared" si="4"/>
        <v>0</v>
      </c>
      <c r="V13" s="13">
        <f t="shared" si="5"/>
        <v>0</v>
      </c>
      <c r="W13" s="13">
        <f t="shared" si="6"/>
        <v>0</v>
      </c>
      <c r="X13" s="13">
        <f t="shared" si="7"/>
        <v>0</v>
      </c>
      <c r="Y13" s="13">
        <f t="shared" si="8"/>
        <v>0</v>
      </c>
      <c r="Z13" s="13">
        <f t="shared" si="9"/>
        <v>0</v>
      </c>
      <c r="AB13" s="7"/>
    </row>
    <row r="14" spans="1:36" ht="16.8" x14ac:dyDescent="0.3">
      <c r="A14" s="20" t="s">
        <v>11</v>
      </c>
      <c r="B14" s="21" t="s">
        <v>35</v>
      </c>
      <c r="C14" s="21">
        <v>500</v>
      </c>
      <c r="D14" s="21">
        <v>20</v>
      </c>
      <c r="E14" s="21">
        <f t="shared" si="0"/>
        <v>25</v>
      </c>
      <c r="F14" s="21">
        <f t="shared" si="10"/>
        <v>20</v>
      </c>
      <c r="H14" s="7"/>
      <c r="K14" s="14">
        <v>2</v>
      </c>
      <c r="L14" s="14">
        <v>2</v>
      </c>
      <c r="M14" s="14">
        <v>2</v>
      </c>
      <c r="N14" s="14"/>
      <c r="O14" s="14"/>
      <c r="P14" s="14"/>
      <c r="R14" s="7"/>
      <c r="U14" s="13">
        <f t="shared" si="4"/>
        <v>50</v>
      </c>
      <c r="V14" s="13">
        <f t="shared" si="5"/>
        <v>50</v>
      </c>
      <c r="W14" s="13">
        <f t="shared" si="6"/>
        <v>50</v>
      </c>
      <c r="X14" s="13">
        <f t="shared" si="7"/>
        <v>0</v>
      </c>
      <c r="Y14" s="13">
        <f t="shared" si="8"/>
        <v>0</v>
      </c>
      <c r="Z14" s="13">
        <f t="shared" si="9"/>
        <v>0</v>
      </c>
      <c r="AB14" s="7"/>
    </row>
    <row r="15" spans="1:36" ht="16.8" x14ac:dyDescent="0.3">
      <c r="A15" s="20" t="s">
        <v>12</v>
      </c>
      <c r="B15" s="21" t="s">
        <v>36</v>
      </c>
      <c r="C15" s="21">
        <v>500</v>
      </c>
      <c r="D15" s="21">
        <v>16</v>
      </c>
      <c r="E15" s="21">
        <f t="shared" si="0"/>
        <v>31.25</v>
      </c>
      <c r="F15" s="21">
        <f t="shared" si="10"/>
        <v>16</v>
      </c>
      <c r="H15" s="7"/>
      <c r="K15" s="14"/>
      <c r="L15" s="14"/>
      <c r="M15" s="14"/>
      <c r="N15" s="14"/>
      <c r="O15" s="14"/>
      <c r="P15" s="14"/>
      <c r="R15" s="7"/>
      <c r="U15" s="13">
        <f t="shared" si="4"/>
        <v>0</v>
      </c>
      <c r="V15" s="13">
        <f t="shared" si="5"/>
        <v>0</v>
      </c>
      <c r="W15" s="13">
        <f t="shared" si="6"/>
        <v>0</v>
      </c>
      <c r="X15" s="13">
        <f t="shared" si="7"/>
        <v>0</v>
      </c>
      <c r="Y15" s="13">
        <f t="shared" si="8"/>
        <v>0</v>
      </c>
      <c r="Z15" s="13">
        <f t="shared" si="9"/>
        <v>0</v>
      </c>
      <c r="AB15" s="7"/>
    </row>
    <row r="16" spans="1:36" ht="16.8" x14ac:dyDescent="0.3">
      <c r="A16" s="20" t="s">
        <v>13</v>
      </c>
      <c r="B16" s="21" t="s">
        <v>37</v>
      </c>
      <c r="C16" s="21">
        <v>150</v>
      </c>
      <c r="D16" s="21">
        <v>12</v>
      </c>
      <c r="E16" s="21">
        <f t="shared" si="0"/>
        <v>12.5</v>
      </c>
      <c r="F16" s="21">
        <f t="shared" si="10"/>
        <v>12</v>
      </c>
      <c r="H16" s="7"/>
      <c r="K16" s="14">
        <v>2</v>
      </c>
      <c r="L16" s="14">
        <v>2</v>
      </c>
      <c r="M16" s="14">
        <v>2</v>
      </c>
      <c r="N16" s="14">
        <v>8</v>
      </c>
      <c r="O16" s="14">
        <v>8</v>
      </c>
      <c r="P16" s="14">
        <v>5</v>
      </c>
      <c r="R16" s="7"/>
      <c r="U16" s="13">
        <f t="shared" si="4"/>
        <v>25</v>
      </c>
      <c r="V16" s="13">
        <f t="shared" si="5"/>
        <v>25</v>
      </c>
      <c r="W16" s="13">
        <f t="shared" si="6"/>
        <v>25</v>
      </c>
      <c r="X16" s="13">
        <f t="shared" si="7"/>
        <v>100</v>
      </c>
      <c r="Y16" s="13">
        <f t="shared" si="8"/>
        <v>100</v>
      </c>
      <c r="Z16" s="13">
        <f t="shared" si="9"/>
        <v>62.5</v>
      </c>
      <c r="AB16" s="7"/>
    </row>
    <row r="17" spans="1:28" ht="16.8" x14ac:dyDescent="0.3">
      <c r="A17" s="20" t="s">
        <v>14</v>
      </c>
      <c r="B17" s="21" t="s">
        <v>39</v>
      </c>
      <c r="C17" s="21">
        <v>130</v>
      </c>
      <c r="D17" s="21">
        <v>12</v>
      </c>
      <c r="E17" s="21">
        <f t="shared" si="0"/>
        <v>10.833333333333334</v>
      </c>
      <c r="F17" s="21">
        <f t="shared" si="10"/>
        <v>12</v>
      </c>
      <c r="H17" s="7"/>
      <c r="K17" s="14"/>
      <c r="L17" s="14"/>
      <c r="M17" s="14"/>
      <c r="N17" s="14"/>
      <c r="O17" s="14"/>
      <c r="P17" s="14">
        <v>5</v>
      </c>
      <c r="R17" s="7"/>
      <c r="U17" s="13">
        <f t="shared" si="4"/>
        <v>0</v>
      </c>
      <c r="V17" s="13">
        <f t="shared" si="5"/>
        <v>0</v>
      </c>
      <c r="W17" s="13">
        <f t="shared" si="6"/>
        <v>0</v>
      </c>
      <c r="X17" s="13">
        <f t="shared" si="7"/>
        <v>0</v>
      </c>
      <c r="Y17" s="13">
        <f t="shared" si="8"/>
        <v>0</v>
      </c>
      <c r="Z17" s="13">
        <f t="shared" si="9"/>
        <v>54.166666666666671</v>
      </c>
      <c r="AB17" s="7"/>
    </row>
    <row r="18" spans="1:28" ht="16.8" x14ac:dyDescent="0.3">
      <c r="A18" s="20"/>
      <c r="B18" s="21" t="s">
        <v>38</v>
      </c>
      <c r="C18" s="21">
        <v>650</v>
      </c>
      <c r="D18" s="21">
        <v>100</v>
      </c>
      <c r="E18" s="21">
        <f t="shared" si="0"/>
        <v>6.5</v>
      </c>
      <c r="F18" s="21">
        <f>D18</f>
        <v>100</v>
      </c>
      <c r="H18" s="7"/>
      <c r="K18" s="14">
        <v>60</v>
      </c>
      <c r="L18" s="14"/>
      <c r="M18" s="14"/>
      <c r="N18" s="14">
        <v>60</v>
      </c>
      <c r="O18" s="14"/>
      <c r="P18" s="14">
        <v>6</v>
      </c>
      <c r="R18" s="7"/>
      <c r="U18" s="13">
        <f t="shared" si="4"/>
        <v>390</v>
      </c>
      <c r="V18" s="13">
        <f t="shared" si="5"/>
        <v>0</v>
      </c>
      <c r="W18" s="13">
        <f t="shared" si="6"/>
        <v>0</v>
      </c>
      <c r="X18" s="13">
        <f t="shared" si="7"/>
        <v>390</v>
      </c>
      <c r="Y18" s="13">
        <f t="shared" si="8"/>
        <v>0</v>
      </c>
      <c r="Z18" s="13">
        <f t="shared" si="9"/>
        <v>39</v>
      </c>
      <c r="AB18" s="7"/>
    </row>
    <row r="19" spans="1:28" ht="16.8" x14ac:dyDescent="0.3">
      <c r="A19" s="20" t="s">
        <v>15</v>
      </c>
      <c r="B19" s="21" t="s">
        <v>52</v>
      </c>
      <c r="C19" s="21"/>
      <c r="D19" s="21"/>
      <c r="E19" s="21">
        <v>7.5</v>
      </c>
      <c r="F19" s="21"/>
      <c r="H19" s="7"/>
      <c r="K19" s="14"/>
      <c r="L19" s="14"/>
      <c r="M19" s="14"/>
      <c r="N19" s="14">
        <v>10</v>
      </c>
      <c r="O19" s="14">
        <v>10</v>
      </c>
      <c r="P19" s="14">
        <v>10</v>
      </c>
      <c r="R19" s="7"/>
      <c r="U19" s="13">
        <f t="shared" si="4"/>
        <v>0</v>
      </c>
      <c r="V19" s="13">
        <f t="shared" si="5"/>
        <v>0</v>
      </c>
      <c r="W19" s="13">
        <f t="shared" si="6"/>
        <v>0</v>
      </c>
      <c r="X19" s="13">
        <f t="shared" si="7"/>
        <v>75</v>
      </c>
      <c r="Y19" s="13">
        <f t="shared" si="8"/>
        <v>75</v>
      </c>
      <c r="Z19" s="13">
        <f t="shared" si="9"/>
        <v>75</v>
      </c>
      <c r="AB19" s="7"/>
    </row>
    <row r="20" spans="1:28" ht="16.8" x14ac:dyDescent="0.3">
      <c r="A20" s="20" t="s">
        <v>16</v>
      </c>
      <c r="B20" s="21" t="s">
        <v>47</v>
      </c>
      <c r="C20" s="21"/>
      <c r="D20" s="21"/>
      <c r="E20" s="21">
        <v>6</v>
      </c>
      <c r="F20" s="21"/>
      <c r="H20" s="7"/>
      <c r="K20" s="14">
        <v>60</v>
      </c>
      <c r="L20" s="14">
        <v>60</v>
      </c>
      <c r="M20" s="14"/>
      <c r="N20" s="14"/>
      <c r="O20" s="14"/>
      <c r="P20" s="14">
        <v>24</v>
      </c>
      <c r="R20" s="7"/>
      <c r="U20" s="13">
        <f t="shared" si="4"/>
        <v>360</v>
      </c>
      <c r="V20" s="13">
        <f t="shared" si="5"/>
        <v>360</v>
      </c>
      <c r="W20" s="13">
        <f t="shared" si="6"/>
        <v>0</v>
      </c>
      <c r="X20" s="13">
        <f t="shared" si="7"/>
        <v>0</v>
      </c>
      <c r="Y20" s="13">
        <f t="shared" si="8"/>
        <v>0</v>
      </c>
      <c r="Z20" s="13">
        <f t="shared" si="9"/>
        <v>144</v>
      </c>
      <c r="AB20" s="7"/>
    </row>
    <row r="21" spans="1:28" ht="16.8" x14ac:dyDescent="0.3">
      <c r="A21" s="20" t="s">
        <v>17</v>
      </c>
      <c r="B21" s="21" t="s">
        <v>48</v>
      </c>
      <c r="C21" s="21"/>
      <c r="D21" s="21"/>
      <c r="E21" s="21">
        <v>3</v>
      </c>
      <c r="F21" s="21"/>
      <c r="H21" s="7"/>
      <c r="K21" s="8">
        <v>60</v>
      </c>
      <c r="L21" s="8">
        <v>60</v>
      </c>
      <c r="M21" s="8">
        <v>60</v>
      </c>
      <c r="N21" s="8">
        <v>60</v>
      </c>
      <c r="O21" s="8">
        <v>60</v>
      </c>
      <c r="P21" s="8">
        <v>60</v>
      </c>
      <c r="R21" s="7"/>
      <c r="U21" s="13">
        <f t="shared" si="4"/>
        <v>180</v>
      </c>
      <c r="V21" s="13">
        <f t="shared" si="5"/>
        <v>180</v>
      </c>
      <c r="W21" s="13">
        <f t="shared" si="6"/>
        <v>180</v>
      </c>
      <c r="X21" s="13">
        <f t="shared" si="7"/>
        <v>180</v>
      </c>
      <c r="Y21" s="13">
        <f t="shared" si="8"/>
        <v>180</v>
      </c>
      <c r="Z21" s="13">
        <f t="shared" si="9"/>
        <v>180</v>
      </c>
      <c r="AB21" s="7"/>
    </row>
    <row r="22" spans="1:28" ht="16.8" x14ac:dyDescent="0.3">
      <c r="A22" s="20" t="s">
        <v>18</v>
      </c>
      <c r="B22" s="21" t="s">
        <v>49</v>
      </c>
      <c r="C22" s="21">
        <v>70</v>
      </c>
      <c r="D22" s="21">
        <v>7</v>
      </c>
      <c r="E22" s="21">
        <f>C22/D22</f>
        <v>10</v>
      </c>
      <c r="F22" s="21">
        <f>D22</f>
        <v>7</v>
      </c>
      <c r="H22" s="7"/>
      <c r="K22" s="8">
        <v>60</v>
      </c>
      <c r="L22" s="8">
        <v>60</v>
      </c>
      <c r="M22" s="8">
        <v>60</v>
      </c>
      <c r="N22" s="8">
        <v>60</v>
      </c>
      <c r="O22" s="8">
        <v>60</v>
      </c>
      <c r="P22" s="8">
        <v>60</v>
      </c>
      <c r="R22" s="7"/>
      <c r="U22" s="13">
        <f t="shared" si="4"/>
        <v>600</v>
      </c>
      <c r="V22" s="13">
        <f t="shared" si="5"/>
        <v>600</v>
      </c>
      <c r="W22" s="13">
        <f t="shared" si="6"/>
        <v>600</v>
      </c>
      <c r="X22" s="13">
        <f t="shared" si="7"/>
        <v>600</v>
      </c>
      <c r="Y22" s="13">
        <f t="shared" si="8"/>
        <v>600</v>
      </c>
      <c r="Z22" s="13">
        <f t="shared" si="9"/>
        <v>600</v>
      </c>
      <c r="AB22" s="7"/>
    </row>
    <row r="23" spans="1:28" ht="16.8" x14ac:dyDescent="0.3">
      <c r="A23" s="20" t="s">
        <v>61</v>
      </c>
      <c r="B23" s="21" t="s">
        <v>50</v>
      </c>
      <c r="C23" s="21"/>
      <c r="D23" s="21"/>
      <c r="E23" s="21">
        <v>3</v>
      </c>
      <c r="F23" s="21"/>
      <c r="H23" s="7"/>
      <c r="K23" s="8">
        <v>60</v>
      </c>
      <c r="L23" s="8">
        <v>60</v>
      </c>
      <c r="M23" s="8">
        <v>60</v>
      </c>
      <c r="N23" s="8">
        <v>60</v>
      </c>
      <c r="O23" s="8">
        <v>60</v>
      </c>
      <c r="P23" s="8">
        <v>30</v>
      </c>
      <c r="R23" s="7"/>
      <c r="U23" s="13">
        <f t="shared" si="4"/>
        <v>180</v>
      </c>
      <c r="V23" s="13">
        <f t="shared" si="5"/>
        <v>180</v>
      </c>
      <c r="W23" s="13">
        <f t="shared" si="6"/>
        <v>180</v>
      </c>
      <c r="X23" s="13">
        <f t="shared" si="7"/>
        <v>180</v>
      </c>
      <c r="Y23" s="13">
        <f t="shared" si="8"/>
        <v>180</v>
      </c>
      <c r="Z23" s="13">
        <f t="shared" si="9"/>
        <v>90</v>
      </c>
      <c r="AB23" s="7"/>
    </row>
    <row r="24" spans="1:28" x14ac:dyDescent="0.3">
      <c r="A24" s="22"/>
      <c r="B24" s="22" t="s">
        <v>62</v>
      </c>
      <c r="C24" s="22"/>
      <c r="D24" s="22"/>
      <c r="E24" s="22"/>
      <c r="F24" s="22"/>
      <c r="H24" s="7"/>
      <c r="J24" s="9"/>
      <c r="K24" s="9"/>
      <c r="L24" s="9"/>
      <c r="M24" s="9"/>
      <c r="N24" s="9"/>
      <c r="O24" s="9"/>
      <c r="P24" s="9"/>
      <c r="Q24" s="10"/>
      <c r="R24" s="7"/>
      <c r="T24" s="9"/>
      <c r="U24" s="9"/>
      <c r="V24" s="9"/>
      <c r="W24" s="9"/>
      <c r="X24" s="9"/>
      <c r="Y24" s="9"/>
      <c r="Z24" s="9"/>
      <c r="AB24" s="7"/>
    </row>
    <row r="25" spans="1:28" x14ac:dyDescent="0.3">
      <c r="A25" s="22"/>
      <c r="B25" s="22" t="s">
        <v>63</v>
      </c>
      <c r="C25" s="22"/>
      <c r="D25" s="22"/>
      <c r="E25" s="22"/>
      <c r="F25" s="22"/>
      <c r="H25" s="7"/>
      <c r="J25" s="11" t="s">
        <v>51</v>
      </c>
      <c r="K25" s="12">
        <f>SUM(K3:K17)</f>
        <v>60</v>
      </c>
      <c r="L25" s="12">
        <f>SUM(L3:L17)</f>
        <v>60</v>
      </c>
      <c r="M25" s="12">
        <f>SUM(M3:M17)</f>
        <v>60</v>
      </c>
      <c r="N25" s="12">
        <f>SUM(N3:N19)</f>
        <v>120</v>
      </c>
      <c r="O25" s="12">
        <f>SUM(O3:O19)</f>
        <v>60</v>
      </c>
      <c r="P25" s="12">
        <f>SUM(P3:P20)</f>
        <v>60</v>
      </c>
      <c r="R25" s="7"/>
      <c r="T25" s="1" t="s">
        <v>54</v>
      </c>
      <c r="U25" s="1">
        <f t="shared" ref="U25:Z25" si="11">SUM(U3:U23)</f>
        <v>2954.6190476190477</v>
      </c>
      <c r="V25" s="1">
        <f t="shared" si="11"/>
        <v>2564.6190476190477</v>
      </c>
      <c r="W25" s="1">
        <f t="shared" si="11"/>
        <v>2204.6190476190477</v>
      </c>
      <c r="X25" s="1">
        <f t="shared" si="11"/>
        <v>2180.1904761904761</v>
      </c>
      <c r="Y25" s="1">
        <f t="shared" si="11"/>
        <v>1790.1904761904761</v>
      </c>
      <c r="Z25" s="1">
        <f t="shared" si="11"/>
        <v>1374.6666666666667</v>
      </c>
      <c r="AB25" s="7"/>
    </row>
  </sheetData>
  <mergeCells count="4">
    <mergeCell ref="AE1:AJ1"/>
    <mergeCell ref="U1:Z1"/>
    <mergeCell ref="B1:F1"/>
    <mergeCell ref="K1:P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Misbahul Amin</cp:lastModifiedBy>
  <dcterms:created xsi:type="dcterms:W3CDTF">2021-08-18T13:31:15Z</dcterms:created>
  <dcterms:modified xsi:type="dcterms:W3CDTF">2026-07-13T05:13:41Z</dcterms:modified>
</cp:coreProperties>
</file>